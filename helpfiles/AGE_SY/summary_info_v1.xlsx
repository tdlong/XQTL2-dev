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dlong/Desktop/Cursor/XQTL2-dev/helpfiles/AGE_SY/"/>
    </mc:Choice>
  </mc:AlternateContent>
  <xr:revisionPtr revIDLastSave="0" documentId="8_{3FD0E980-DF3F-E148-A1A7-49ADB7849DE6}" xr6:coauthVersionLast="47" xr6:coauthVersionMax="47" xr10:uidLastSave="{00000000-0000-0000-0000-000000000000}"/>
  <bookViews>
    <workbookView xWindow="0" yWindow="600" windowWidth="22160" windowHeight="20420" activeTab="1" xr2:uid="{7EA50E61-FB7A-9042-82AF-E5BB47CE9D21}"/>
  </bookViews>
  <sheets>
    <sheet name="Control_Flies" sheetId="2" r:id="rId1"/>
    <sheet name="Aged_Fli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3" i="1" l="1"/>
  <c r="E54" i="1"/>
  <c r="E55" i="1"/>
  <c r="E56" i="1"/>
  <c r="E57" i="1"/>
  <c r="D30" i="2"/>
  <c r="D31" i="2"/>
  <c r="D32" i="2"/>
  <c r="D33" i="2"/>
  <c r="H50" i="1"/>
  <c r="H52" i="1"/>
  <c r="H46" i="1"/>
  <c r="H48" i="1"/>
  <c r="H47" i="1"/>
  <c r="H49" i="1"/>
  <c r="E50" i="1"/>
  <c r="E51" i="1"/>
  <c r="E52" i="1"/>
  <c r="E53" i="1"/>
  <c r="D28" i="2"/>
  <c r="D29" i="2"/>
  <c r="D27" i="2"/>
  <c r="D26" i="2"/>
  <c r="H42" i="1"/>
  <c r="H44" i="1"/>
  <c r="H45" i="1"/>
  <c r="H43" i="1"/>
  <c r="J46" i="1"/>
  <c r="J47" i="1"/>
  <c r="J48" i="1"/>
  <c r="J49" i="1"/>
  <c r="E49" i="1"/>
  <c r="E48" i="1"/>
  <c r="E47" i="1"/>
  <c r="E46" i="1"/>
  <c r="D25" i="2"/>
  <c r="D24" i="2"/>
  <c r="H40" i="1"/>
  <c r="H38" i="1"/>
  <c r="J37" i="1"/>
  <c r="J38" i="1"/>
  <c r="J39" i="1"/>
  <c r="J40" i="1"/>
  <c r="J41" i="1"/>
  <c r="J42" i="1"/>
  <c r="J43" i="1"/>
  <c r="J44" i="1"/>
  <c r="J45" i="1"/>
  <c r="H41" i="1"/>
  <c r="H39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2" i="1"/>
  <c r="E42" i="1"/>
  <c r="E43" i="1"/>
  <c r="E44" i="1"/>
  <c r="E45" i="1"/>
  <c r="D22" i="2"/>
  <c r="D23" i="2"/>
  <c r="H37" i="1"/>
  <c r="H36" i="1"/>
  <c r="H34" i="1"/>
  <c r="H35" i="1"/>
  <c r="H32" i="1"/>
  <c r="H33" i="1"/>
  <c r="H30" i="1"/>
  <c r="H31" i="1"/>
  <c r="E39" i="1"/>
  <c r="E40" i="1"/>
  <c r="E41" i="1"/>
  <c r="E38" i="1"/>
  <c r="D21" i="2"/>
  <c r="D20" i="2"/>
  <c r="H28" i="1"/>
  <c r="H26" i="1"/>
  <c r="H29" i="1"/>
  <c r="H27" i="1"/>
  <c r="D18" i="2"/>
  <c r="D19" i="2"/>
  <c r="E34" i="1"/>
  <c r="E35" i="1"/>
  <c r="E36" i="1"/>
  <c r="E37" i="1"/>
  <c r="E30" i="1"/>
  <c r="E31" i="1"/>
  <c r="E32" i="1"/>
  <c r="E33" i="1"/>
  <c r="D17" i="2"/>
  <c r="D16" i="2"/>
  <c r="H22" i="1"/>
  <c r="H24" i="1"/>
  <c r="H25" i="1"/>
  <c r="H23" i="1"/>
  <c r="D14" i="2"/>
  <c r="D15" i="2"/>
  <c r="E26" i="1"/>
  <c r="E27" i="1"/>
  <c r="E28" i="1"/>
  <c r="E29" i="1"/>
  <c r="H18" i="1"/>
  <c r="H19" i="1"/>
  <c r="H20" i="1"/>
  <c r="H21" i="1"/>
  <c r="E25" i="1"/>
  <c r="E24" i="1"/>
  <c r="E23" i="1"/>
  <c r="E22" i="1"/>
  <c r="D13" i="2"/>
  <c r="D12" i="2"/>
  <c r="H14" i="1"/>
  <c r="H15" i="1"/>
  <c r="H16" i="1"/>
  <c r="H17" i="1"/>
  <c r="H10" i="1"/>
  <c r="H11" i="1"/>
  <c r="H12" i="1"/>
  <c r="H13" i="1"/>
  <c r="H6" i="1"/>
  <c r="H7" i="1"/>
  <c r="H8" i="1"/>
  <c r="H9" i="1"/>
  <c r="D3" i="2"/>
  <c r="D4" i="2"/>
  <c r="D5" i="2"/>
  <c r="D6" i="2"/>
  <c r="D7" i="2"/>
  <c r="D8" i="2"/>
  <c r="D9" i="2"/>
  <c r="D10" i="2"/>
  <c r="D11" i="2"/>
  <c r="D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  <c r="H3" i="1"/>
  <c r="H4" i="1"/>
  <c r="H5" i="1"/>
  <c r="H2" i="1"/>
</calcChain>
</file>

<file path=xl/sharedStrings.xml><?xml version="1.0" encoding="utf-8"?>
<sst xmlns="http://schemas.openxmlformats.org/spreadsheetml/2006/main" count="413" uniqueCount="59">
  <si>
    <t>Replicate</t>
  </si>
  <si>
    <t>Sex</t>
  </si>
  <si>
    <t>Diet</t>
  </si>
  <si>
    <t>Num_Aged</t>
  </si>
  <si>
    <t>Flies_Into_Cage</t>
  </si>
  <si>
    <t>Num_Random_Controls</t>
  </si>
  <si>
    <t>Rep1</t>
  </si>
  <si>
    <t>F</t>
  </si>
  <si>
    <t>M</t>
  </si>
  <si>
    <t>SY10</t>
  </si>
  <si>
    <t>SY20</t>
  </si>
  <si>
    <t>Rep2</t>
  </si>
  <si>
    <t>Rep3</t>
  </si>
  <si>
    <t>Rep4</t>
  </si>
  <si>
    <t>Rep5</t>
  </si>
  <si>
    <t>Percent_Aged</t>
  </si>
  <si>
    <t>Aged_Flies_Age_Days</t>
  </si>
  <si>
    <t>71-73</t>
  </si>
  <si>
    <t>59-61</t>
  </si>
  <si>
    <t>70-72</t>
  </si>
  <si>
    <t>62-64</t>
  </si>
  <si>
    <t>Seq_Sample_ID</t>
  </si>
  <si>
    <r>
      <rPr>
        <b/>
        <sz val="12"/>
        <color rgb="FFC00000"/>
        <rFont val="Aptos Narrow (Body)"/>
      </rPr>
      <t>RED</t>
    </r>
    <r>
      <rPr>
        <sz val="12"/>
        <color theme="1"/>
        <rFont val="Aptos Narrow"/>
        <family val="2"/>
        <scheme val="minor"/>
      </rPr>
      <t xml:space="preserve"> column is formula</t>
    </r>
  </si>
  <si>
    <r>
      <rPr>
        <b/>
        <sz val="12"/>
        <color rgb="FFC00000"/>
        <rFont val="Aptos Narrow (Body)"/>
      </rPr>
      <t>RED</t>
    </r>
    <r>
      <rPr>
        <sz val="12"/>
        <color theme="1"/>
        <rFont val="Aptos Narrow"/>
        <family val="2"/>
        <scheme val="minor"/>
      </rPr>
      <t xml:space="preserve"> columns are formulae</t>
    </r>
  </si>
  <si>
    <t>58-60</t>
  </si>
  <si>
    <t>49-51</t>
  </si>
  <si>
    <t>56-58</t>
  </si>
  <si>
    <t>57-59</t>
  </si>
  <si>
    <t>-</t>
  </si>
  <si>
    <t>Missing values ("-") are for ongoing replicates</t>
  </si>
  <si>
    <t>52-54</t>
  </si>
  <si>
    <t>55-57</t>
  </si>
  <si>
    <t>46-48</t>
  </si>
  <si>
    <t>Rep6</t>
  </si>
  <si>
    <t>50-52</t>
  </si>
  <si>
    <t>Rep7</t>
  </si>
  <si>
    <t>47-49</t>
  </si>
  <si>
    <t>54-56</t>
  </si>
  <si>
    <t>Rep8</t>
  </si>
  <si>
    <t>Rep9</t>
  </si>
  <si>
    <t>51-53</t>
  </si>
  <si>
    <t>61-63</t>
  </si>
  <si>
    <t>SY10_Lifespan_Extension_Days</t>
  </si>
  <si>
    <t>Base_Popn</t>
  </si>
  <si>
    <t>Nov2023_B</t>
  </si>
  <si>
    <t>May2023_B</t>
  </si>
  <si>
    <t>Rep10</t>
  </si>
  <si>
    <t>63-65</t>
  </si>
  <si>
    <t>Rep11</t>
  </si>
  <si>
    <t>Rep12</t>
  </si>
  <si>
    <t>60-62</t>
  </si>
  <si>
    <t>RepA1</t>
  </si>
  <si>
    <t>Dec2025_A</t>
  </si>
  <si>
    <t>RepA2</t>
  </si>
  <si>
    <t>NA</t>
  </si>
  <si>
    <t>41-43</t>
  </si>
  <si>
    <t>42-44</t>
  </si>
  <si>
    <t>RepA3</t>
  </si>
  <si>
    <t>RepA4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</si>
</sst>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C00000"/>
      <name val="Aptos Narrow"/>
      <scheme val="minor"/>
    </font>
    <font>
      <sz val="12"/>
      <color rgb="FFC00000"/>
      <name val="Aptos Narrow"/>
      <scheme val="minor"/>
    </font>
    <font>
      <b/>
      <sz val="12"/>
      <color rgb="FFC00000"/>
      <name val="Aptos Narrow (Body)"/>
    </font>
    <font>
      <sz val="12"/>
      <color rgb="FFC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2" fontId="3" fillId="0" borderId="0" xfId="0" applyNumberFormat="1" applyFont="1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right"/>
    </xf>
    <xf numFmtId="0" fontId="5" fillId="2" borderId="0" xfId="0" applyFont="1" applyFill="1" applyAlignment="1">
      <alignment horizontal="right"/>
    </xf>
    <xf numFmtId="2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51633-46B4-FB44-B517-DFC55A3D1DE8}">
  <dimension ref="A1:L33"/>
  <sheetViews>
    <sheetView workbookViewId="0">
      <selection activeCell="A34" sqref="A34"/>
    </sheetView>
  </sheetViews>
  <sheetFormatPr baseColWidth="10" defaultRowHeight="16" x14ac:dyDescent="0.2"/>
  <cols>
    <col min="4" max="4" width="16.5" customWidth="1"/>
    <col min="5" max="5" width="21.6640625" style="2" customWidth="1"/>
  </cols>
  <sheetData>
    <row r="1" spans="1:12" x14ac:dyDescent="0.2">
      <c r="A1" s="1" t="s">
        <v>0</v>
      </c>
      <c r="B1" s="1" t="s">
        <v>43</v>
      </c>
      <c r="C1" s="1" t="s">
        <v>1</v>
      </c>
      <c r="D1" s="4" t="s">
        <v>21</v>
      </c>
      <c r="E1" s="3" t="s">
        <v>5</v>
      </c>
      <c r="L1" t="s">
        <v>22</v>
      </c>
    </row>
    <row r="2" spans="1:12" x14ac:dyDescent="0.2">
      <c r="A2" t="s">
        <v>6</v>
      </c>
      <c r="B2" t="s">
        <v>44</v>
      </c>
      <c r="C2" t="s">
        <v>7</v>
      </c>
      <c r="D2" s="5" t="str">
        <f>_xlfn.CONCAT(LEFT(A2,1),RIGHT(A2,1),"_Con_",C2)</f>
        <v>R1_Con_F</v>
      </c>
      <c r="E2" s="2">
        <v>720</v>
      </c>
    </row>
    <row r="3" spans="1:12" x14ac:dyDescent="0.2">
      <c r="A3" t="s">
        <v>6</v>
      </c>
      <c r="B3" t="s">
        <v>44</v>
      </c>
      <c r="C3" t="s">
        <v>8</v>
      </c>
      <c r="D3" s="5" t="str">
        <f t="shared" ref="D3:D11" si="0">_xlfn.CONCAT(LEFT(A3,1),RIGHT(A3,1),"_Con_",C3)</f>
        <v>R1_Con_M</v>
      </c>
      <c r="E3" s="2">
        <v>720</v>
      </c>
      <c r="L3" t="s">
        <v>29</v>
      </c>
    </row>
    <row r="4" spans="1:12" x14ac:dyDescent="0.2">
      <c r="A4" t="s">
        <v>11</v>
      </c>
      <c r="B4" t="s">
        <v>44</v>
      </c>
      <c r="C4" t="s">
        <v>7</v>
      </c>
      <c r="D4" s="5" t="str">
        <f t="shared" si="0"/>
        <v>R2_Con_F</v>
      </c>
      <c r="E4" s="2">
        <v>715</v>
      </c>
    </row>
    <row r="5" spans="1:12" x14ac:dyDescent="0.2">
      <c r="A5" t="s">
        <v>11</v>
      </c>
      <c r="B5" t="s">
        <v>44</v>
      </c>
      <c r="C5" t="s">
        <v>8</v>
      </c>
      <c r="D5" s="5" t="str">
        <f t="shared" si="0"/>
        <v>R2_Con_M</v>
      </c>
      <c r="E5" s="2">
        <v>715</v>
      </c>
    </row>
    <row r="6" spans="1:12" x14ac:dyDescent="0.2">
      <c r="A6" t="s">
        <v>12</v>
      </c>
      <c r="B6" t="s">
        <v>44</v>
      </c>
      <c r="C6" t="s">
        <v>7</v>
      </c>
      <c r="D6" s="5" t="str">
        <f t="shared" si="0"/>
        <v>R3_Con_F</v>
      </c>
      <c r="E6" s="2">
        <v>610</v>
      </c>
    </row>
    <row r="7" spans="1:12" x14ac:dyDescent="0.2">
      <c r="A7" t="s">
        <v>12</v>
      </c>
      <c r="B7" t="s">
        <v>44</v>
      </c>
      <c r="C7" t="s">
        <v>8</v>
      </c>
      <c r="D7" s="5" t="str">
        <f t="shared" si="0"/>
        <v>R3_Con_M</v>
      </c>
      <c r="E7" s="2">
        <v>610</v>
      </c>
    </row>
    <row r="8" spans="1:12" x14ac:dyDescent="0.2">
      <c r="A8" t="s">
        <v>13</v>
      </c>
      <c r="B8" t="s">
        <v>44</v>
      </c>
      <c r="C8" t="s">
        <v>7</v>
      </c>
      <c r="D8" s="5" t="str">
        <f t="shared" si="0"/>
        <v>R4_Con_F</v>
      </c>
      <c r="E8" s="2">
        <v>720</v>
      </c>
    </row>
    <row r="9" spans="1:12" x14ac:dyDescent="0.2">
      <c r="A9" t="s">
        <v>13</v>
      </c>
      <c r="B9" t="s">
        <v>44</v>
      </c>
      <c r="C9" t="s">
        <v>8</v>
      </c>
      <c r="D9" s="5" t="str">
        <f t="shared" si="0"/>
        <v>R4_Con_M</v>
      </c>
      <c r="E9" s="2">
        <v>720</v>
      </c>
    </row>
    <row r="10" spans="1:12" x14ac:dyDescent="0.2">
      <c r="A10" t="s">
        <v>14</v>
      </c>
      <c r="B10" t="s">
        <v>44</v>
      </c>
      <c r="C10" t="s">
        <v>7</v>
      </c>
      <c r="D10" s="5" t="str">
        <f t="shared" si="0"/>
        <v>R5_Con_F</v>
      </c>
      <c r="E10" s="2">
        <v>710</v>
      </c>
    </row>
    <row r="11" spans="1:12" x14ac:dyDescent="0.2">
      <c r="A11" t="s">
        <v>14</v>
      </c>
      <c r="B11" t="s">
        <v>44</v>
      </c>
      <c r="C11" t="s">
        <v>8</v>
      </c>
      <c r="D11" s="5" t="str">
        <f t="shared" si="0"/>
        <v>R5_Con_M</v>
      </c>
      <c r="E11" s="2">
        <v>705</v>
      </c>
    </row>
    <row r="12" spans="1:12" x14ac:dyDescent="0.2">
      <c r="A12" t="s">
        <v>33</v>
      </c>
      <c r="B12" t="s">
        <v>44</v>
      </c>
      <c r="C12" t="s">
        <v>7</v>
      </c>
      <c r="D12" s="5" t="str">
        <f t="shared" ref="D12:D19" si="1">_xlfn.CONCAT(LEFT(A12,1),RIGHT(A12,1),"_Con_",C12)</f>
        <v>R6_Con_F</v>
      </c>
      <c r="E12" s="2">
        <v>835</v>
      </c>
    </row>
    <row r="13" spans="1:12" x14ac:dyDescent="0.2">
      <c r="A13" t="s">
        <v>33</v>
      </c>
      <c r="B13" t="s">
        <v>44</v>
      </c>
      <c r="C13" t="s">
        <v>8</v>
      </c>
      <c r="D13" s="5" t="str">
        <f t="shared" si="1"/>
        <v>R6_Con_M</v>
      </c>
      <c r="E13" s="2">
        <v>832</v>
      </c>
    </row>
    <row r="14" spans="1:12" x14ac:dyDescent="0.2">
      <c r="A14" t="s">
        <v>35</v>
      </c>
      <c r="B14" t="s">
        <v>44</v>
      </c>
      <c r="C14" t="s">
        <v>7</v>
      </c>
      <c r="D14" s="5" t="str">
        <f t="shared" si="1"/>
        <v>R7_Con_F</v>
      </c>
      <c r="E14" s="2">
        <v>635</v>
      </c>
    </row>
    <row r="15" spans="1:12" x14ac:dyDescent="0.2">
      <c r="A15" t="s">
        <v>35</v>
      </c>
      <c r="B15" t="s">
        <v>44</v>
      </c>
      <c r="C15" t="s">
        <v>8</v>
      </c>
      <c r="D15" s="5" t="str">
        <f t="shared" si="1"/>
        <v>R7_Con_M</v>
      </c>
      <c r="E15" s="2">
        <v>635</v>
      </c>
    </row>
    <row r="16" spans="1:12" x14ac:dyDescent="0.2">
      <c r="A16" t="s">
        <v>38</v>
      </c>
      <c r="B16" t="s">
        <v>45</v>
      </c>
      <c r="C16" t="s">
        <v>7</v>
      </c>
      <c r="D16" s="5" t="str">
        <f t="shared" si="1"/>
        <v>R8_Con_F</v>
      </c>
      <c r="E16" s="2">
        <v>631</v>
      </c>
    </row>
    <row r="17" spans="1:5" x14ac:dyDescent="0.2">
      <c r="A17" t="s">
        <v>38</v>
      </c>
      <c r="B17" t="s">
        <v>45</v>
      </c>
      <c r="C17" t="s">
        <v>8</v>
      </c>
      <c r="D17" s="5" t="str">
        <f t="shared" si="1"/>
        <v>R8_Con_M</v>
      </c>
      <c r="E17" s="2">
        <v>629</v>
      </c>
    </row>
    <row r="18" spans="1:5" x14ac:dyDescent="0.2">
      <c r="A18" t="s">
        <v>39</v>
      </c>
      <c r="B18" t="s">
        <v>45</v>
      </c>
      <c r="C18" t="s">
        <v>7</v>
      </c>
      <c r="D18" s="5" t="str">
        <f t="shared" si="1"/>
        <v>R9_Con_F</v>
      </c>
      <c r="E18" s="2">
        <v>607</v>
      </c>
    </row>
    <row r="19" spans="1:5" x14ac:dyDescent="0.2">
      <c r="A19" t="s">
        <v>39</v>
      </c>
      <c r="B19" t="s">
        <v>45</v>
      </c>
      <c r="C19" t="s">
        <v>8</v>
      </c>
      <c r="D19" s="5" t="str">
        <f t="shared" si="1"/>
        <v>R9_Con_M</v>
      </c>
      <c r="E19" s="2">
        <v>607</v>
      </c>
    </row>
    <row r="20" spans="1:5" x14ac:dyDescent="0.2">
      <c r="A20" t="s">
        <v>46</v>
      </c>
      <c r="B20" t="s">
        <v>44</v>
      </c>
      <c r="C20" t="s">
        <v>7</v>
      </c>
      <c r="D20" s="5" t="str">
        <f>_xlfn.CONCAT(LEFT(A20,1),RIGHT(A20,2),"_Con_",C20)</f>
        <v>R10_Con_F</v>
      </c>
      <c r="E20" s="2">
        <v>651</v>
      </c>
    </row>
    <row r="21" spans="1:5" x14ac:dyDescent="0.2">
      <c r="A21" t="s">
        <v>46</v>
      </c>
      <c r="B21" t="s">
        <v>44</v>
      </c>
      <c r="C21" t="s">
        <v>8</v>
      </c>
      <c r="D21" s="5" t="str">
        <f t="shared" ref="D21:D33" si="2">_xlfn.CONCAT(LEFT(A21,1),RIGHT(A21,2),"_Con_",C21)</f>
        <v>R10_Con_M</v>
      </c>
      <c r="E21" s="2">
        <v>651</v>
      </c>
    </row>
    <row r="22" spans="1:5" x14ac:dyDescent="0.2">
      <c r="A22" t="s">
        <v>48</v>
      </c>
      <c r="B22" t="s">
        <v>44</v>
      </c>
      <c r="C22" t="s">
        <v>7</v>
      </c>
      <c r="D22" s="5" t="str">
        <f t="shared" si="2"/>
        <v>R11_Con_F</v>
      </c>
      <c r="E22" s="2">
        <v>704</v>
      </c>
    </row>
    <row r="23" spans="1:5" x14ac:dyDescent="0.2">
      <c r="A23" t="s">
        <v>48</v>
      </c>
      <c r="B23" t="s">
        <v>44</v>
      </c>
      <c r="C23" t="s">
        <v>8</v>
      </c>
      <c r="D23" s="5" t="str">
        <f t="shared" si="2"/>
        <v>R11_Con_M</v>
      </c>
      <c r="E23" s="2">
        <v>704</v>
      </c>
    </row>
    <row r="24" spans="1:5" x14ac:dyDescent="0.2">
      <c r="A24" t="s">
        <v>49</v>
      </c>
      <c r="B24" t="s">
        <v>44</v>
      </c>
      <c r="C24" t="s">
        <v>7</v>
      </c>
      <c r="D24" s="5" t="str">
        <f t="shared" si="2"/>
        <v>R12_Con_F</v>
      </c>
      <c r="E24" s="2">
        <v>650</v>
      </c>
    </row>
    <row r="25" spans="1:5" x14ac:dyDescent="0.2">
      <c r="A25" t="s">
        <v>49</v>
      </c>
      <c r="B25" t="s">
        <v>44</v>
      </c>
      <c r="C25" t="s">
        <v>8</v>
      </c>
      <c r="D25" s="5" t="str">
        <f t="shared" si="2"/>
        <v>R12_Con_M</v>
      </c>
      <c r="E25" s="2">
        <v>650</v>
      </c>
    </row>
    <row r="26" spans="1:5" x14ac:dyDescent="0.2">
      <c r="A26" s="7" t="s">
        <v>51</v>
      </c>
      <c r="B26" s="7" t="s">
        <v>52</v>
      </c>
      <c r="C26" s="7" t="s">
        <v>7</v>
      </c>
      <c r="D26" s="8" t="str">
        <f t="shared" si="2"/>
        <v>RA1_Con_F</v>
      </c>
      <c r="E26" s="9">
        <v>672</v>
      </c>
    </row>
    <row r="27" spans="1:5" x14ac:dyDescent="0.2">
      <c r="A27" s="7" t="s">
        <v>51</v>
      </c>
      <c r="B27" s="7" t="s">
        <v>52</v>
      </c>
      <c r="C27" s="7" t="s">
        <v>8</v>
      </c>
      <c r="D27" s="8" t="str">
        <f t="shared" si="2"/>
        <v>RA1_Con_M</v>
      </c>
      <c r="E27" s="9">
        <v>672</v>
      </c>
    </row>
    <row r="28" spans="1:5" x14ac:dyDescent="0.2">
      <c r="A28" s="7" t="s">
        <v>53</v>
      </c>
      <c r="B28" s="7" t="s">
        <v>52</v>
      </c>
      <c r="C28" s="7" t="s">
        <v>7</v>
      </c>
      <c r="D28" s="8" t="str">
        <f t="shared" si="2"/>
        <v>RA2_Con_F</v>
      </c>
      <c r="E28" s="9">
        <v>664</v>
      </c>
    </row>
    <row r="29" spans="1:5" x14ac:dyDescent="0.2">
      <c r="A29" s="7" t="s">
        <v>53</v>
      </c>
      <c r="B29" s="7" t="s">
        <v>52</v>
      </c>
      <c r="C29" s="7" t="s">
        <v>8</v>
      </c>
      <c r="D29" s="8" t="str">
        <f t="shared" si="2"/>
        <v>RA2_Con_M</v>
      </c>
      <c r="E29" s="9">
        <v>664</v>
      </c>
    </row>
    <row r="30" spans="1:5" x14ac:dyDescent="0.2">
      <c r="A30" s="7" t="s">
        <v>57</v>
      </c>
      <c r="B30" s="7" t="s">
        <v>52</v>
      </c>
      <c r="C30" s="7" t="s">
        <v>7</v>
      </c>
      <c r="D30" s="8" t="str">
        <f t="shared" si="2"/>
        <v>RA3_Con_F</v>
      </c>
      <c r="E30" s="9">
        <v>659</v>
      </c>
    </row>
    <row r="31" spans="1:5" x14ac:dyDescent="0.2">
      <c r="A31" s="7" t="s">
        <v>57</v>
      </c>
      <c r="B31" s="7" t="s">
        <v>52</v>
      </c>
      <c r="C31" s="7" t="s">
        <v>8</v>
      </c>
      <c r="D31" s="8" t="str">
        <f t="shared" si="2"/>
        <v>RA3_Con_M</v>
      </c>
      <c r="E31" s="9">
        <v>660</v>
      </c>
    </row>
    <row r="32" spans="1:5" x14ac:dyDescent="0.2">
      <c r="A32" s="7" t="s">
        <v>58</v>
      </c>
      <c r="B32" s="7" t="s">
        <v>52</v>
      </c>
      <c r="C32" s="7" t="s">
        <v>7</v>
      </c>
      <c r="D32" s="8" t="str">
        <f t="shared" si="2"/>
        <v>RA4_Con_F</v>
      </c>
      <c r="E32" s="9">
        <v>614</v>
      </c>
    </row>
    <row r="33" spans="1:5" x14ac:dyDescent="0.2">
      <c r="A33" s="7" t="s">
        <v>58</v>
      </c>
      <c r="B33" s="7" t="s">
        <v>52</v>
      </c>
      <c r="C33" s="7" t="s">
        <v>8</v>
      </c>
      <c r="D33" s="8" t="str">
        <f t="shared" si="2"/>
        <v>RA4_Con_M</v>
      </c>
      <c r="E33" s="9">
        <v>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FBA2A-CFA9-8F4A-922D-81CE791EE829}">
  <dimension ref="A1:L57"/>
  <sheetViews>
    <sheetView tabSelected="1" topLeftCell="A16" workbookViewId="0">
      <selection activeCell="G42" sqref="G42"/>
    </sheetView>
  </sheetViews>
  <sheetFormatPr baseColWidth="10" defaultRowHeight="16" x14ac:dyDescent="0.2"/>
  <cols>
    <col min="5" max="5" width="16.5" customWidth="1"/>
    <col min="6" max="6" width="16.1640625" customWidth="1"/>
    <col min="7" max="7" width="12.6640625" customWidth="1"/>
    <col min="8" max="8" width="15.1640625" style="5" customWidth="1"/>
    <col min="9" max="9" width="19.1640625" customWidth="1"/>
    <col min="10" max="10" width="28.5" style="5" customWidth="1"/>
  </cols>
  <sheetData>
    <row r="1" spans="1:12" x14ac:dyDescent="0.2">
      <c r="A1" s="1" t="s">
        <v>0</v>
      </c>
      <c r="B1" s="1" t="s">
        <v>43</v>
      </c>
      <c r="C1" s="1" t="s">
        <v>1</v>
      </c>
      <c r="D1" s="1" t="s">
        <v>2</v>
      </c>
      <c r="E1" s="4" t="s">
        <v>21</v>
      </c>
      <c r="F1" s="1" t="s">
        <v>4</v>
      </c>
      <c r="G1" s="1" t="s">
        <v>3</v>
      </c>
      <c r="H1" s="4" t="s">
        <v>15</v>
      </c>
      <c r="I1" s="1" t="s">
        <v>16</v>
      </c>
      <c r="J1" s="4" t="s">
        <v>42</v>
      </c>
      <c r="L1" t="s">
        <v>23</v>
      </c>
    </row>
    <row r="2" spans="1:12" x14ac:dyDescent="0.2">
      <c r="A2" t="s">
        <v>6</v>
      </c>
      <c r="B2" t="s">
        <v>44</v>
      </c>
      <c r="C2" t="s">
        <v>7</v>
      </c>
      <c r="D2" t="s">
        <v>9</v>
      </c>
      <c r="E2" s="5" t="str">
        <f>_xlfn.CONCAT(LEFT(A2,1),RIGHT(A2,1),"_Age_",D2,C2)</f>
        <v>R1_Age_SY10F</v>
      </c>
      <c r="F2">
        <v>8780</v>
      </c>
      <c r="G2">
        <v>314</v>
      </c>
      <c r="H2" s="5">
        <f>ROUND(100*(G2/F2),2)</f>
        <v>3.58</v>
      </c>
      <c r="I2" s="2" t="s">
        <v>17</v>
      </c>
      <c r="J2" s="5" t="str">
        <f>IF(I2="-","-",IF(D2="SY20","-",IF(D2="SY10",_xlfn.CONCAT(C2," (",LEFT(I2,2)-LEFT(I3,2),")"))))</f>
        <v>F (12)</v>
      </c>
    </row>
    <row r="3" spans="1:12" x14ac:dyDescent="0.2">
      <c r="A3" t="s">
        <v>6</v>
      </c>
      <c r="B3" t="s">
        <v>44</v>
      </c>
      <c r="C3" t="s">
        <v>7</v>
      </c>
      <c r="D3" t="s">
        <v>10</v>
      </c>
      <c r="E3" s="5" t="str">
        <f t="shared" ref="E3:E21" si="0">_xlfn.CONCAT(LEFT(A3,1),RIGHT(A3,1),"_Age_",D3,C3)</f>
        <v>R1_Age_SY20F</v>
      </c>
      <c r="F3">
        <v>8750</v>
      </c>
      <c r="G3">
        <v>834</v>
      </c>
      <c r="H3" s="5">
        <f>ROUND(100*(G3/F3),2)</f>
        <v>9.5299999999999994</v>
      </c>
      <c r="I3" s="2" t="s">
        <v>18</v>
      </c>
      <c r="J3" s="5" t="str">
        <f t="shared" ref="J3:J45" si="1">IF(I3="-","-",IF(D3="SY20","-",IF(D3="SY10",_xlfn.CONCAT(C3," (",LEFT(I3,2)-LEFT(I4,2),")"))))</f>
        <v>-</v>
      </c>
      <c r="L3" t="s">
        <v>29</v>
      </c>
    </row>
    <row r="4" spans="1:12" x14ac:dyDescent="0.2">
      <c r="A4" t="s">
        <v>6</v>
      </c>
      <c r="B4" t="s">
        <v>44</v>
      </c>
      <c r="C4" t="s">
        <v>8</v>
      </c>
      <c r="D4" t="s">
        <v>9</v>
      </c>
      <c r="E4" s="5" t="str">
        <f t="shared" si="0"/>
        <v>R1_Age_SY10M</v>
      </c>
      <c r="F4">
        <v>8384</v>
      </c>
      <c r="G4">
        <v>582</v>
      </c>
      <c r="H4" s="5">
        <f>ROUND(100*(G4/F4),2)</f>
        <v>6.94</v>
      </c>
      <c r="I4" s="2" t="s">
        <v>19</v>
      </c>
      <c r="J4" s="5" t="str">
        <f t="shared" si="1"/>
        <v>M (8)</v>
      </c>
    </row>
    <row r="5" spans="1:12" x14ac:dyDescent="0.2">
      <c r="A5" t="s">
        <v>6</v>
      </c>
      <c r="B5" t="s">
        <v>44</v>
      </c>
      <c r="C5" t="s">
        <v>8</v>
      </c>
      <c r="D5" t="s">
        <v>10</v>
      </c>
      <c r="E5" s="5" t="str">
        <f t="shared" si="0"/>
        <v>R1_Age_SY20M</v>
      </c>
      <c r="F5">
        <v>8390</v>
      </c>
      <c r="G5">
        <v>868</v>
      </c>
      <c r="H5" s="5">
        <f>ROUND(100*(G5/F5),2)</f>
        <v>10.35</v>
      </c>
      <c r="I5" s="2" t="s">
        <v>20</v>
      </c>
      <c r="J5" s="5" t="str">
        <f t="shared" si="1"/>
        <v>-</v>
      </c>
    </row>
    <row r="6" spans="1:12" x14ac:dyDescent="0.2">
      <c r="A6" t="s">
        <v>11</v>
      </c>
      <c r="B6" t="s">
        <v>44</v>
      </c>
      <c r="C6" t="s">
        <v>7</v>
      </c>
      <c r="D6" t="s">
        <v>9</v>
      </c>
      <c r="E6" s="5" t="str">
        <f t="shared" si="0"/>
        <v>R2_Age_SY10F</v>
      </c>
      <c r="F6">
        <v>10800</v>
      </c>
      <c r="G6">
        <v>499</v>
      </c>
      <c r="H6" s="5">
        <f t="shared" ref="H6:H47" si="2">ROUND(100*(G6/F6),2)</f>
        <v>4.62</v>
      </c>
      <c r="I6" s="2" t="s">
        <v>24</v>
      </c>
      <c r="J6" s="5" t="str">
        <f t="shared" si="1"/>
        <v>F (9)</v>
      </c>
    </row>
    <row r="7" spans="1:12" x14ac:dyDescent="0.2">
      <c r="A7" t="s">
        <v>11</v>
      </c>
      <c r="B7" t="s">
        <v>44</v>
      </c>
      <c r="C7" t="s">
        <v>7</v>
      </c>
      <c r="D7" t="s">
        <v>10</v>
      </c>
      <c r="E7" s="5" t="str">
        <f t="shared" si="0"/>
        <v>R2_Age_SY20F</v>
      </c>
      <c r="F7">
        <v>10797</v>
      </c>
      <c r="G7">
        <v>431</v>
      </c>
      <c r="H7" s="5">
        <f t="shared" si="2"/>
        <v>3.99</v>
      </c>
      <c r="I7" s="2" t="s">
        <v>25</v>
      </c>
      <c r="J7" s="5" t="str">
        <f t="shared" si="1"/>
        <v>-</v>
      </c>
    </row>
    <row r="8" spans="1:12" x14ac:dyDescent="0.2">
      <c r="A8" t="s">
        <v>11</v>
      </c>
      <c r="B8" t="s">
        <v>44</v>
      </c>
      <c r="C8" t="s">
        <v>8</v>
      </c>
      <c r="D8" t="s">
        <v>9</v>
      </c>
      <c r="E8" s="5" t="str">
        <f t="shared" si="0"/>
        <v>R2_Age_SY10M</v>
      </c>
      <c r="F8">
        <v>10712</v>
      </c>
      <c r="G8">
        <v>574</v>
      </c>
      <c r="H8" s="5">
        <f t="shared" si="2"/>
        <v>5.36</v>
      </c>
      <c r="I8" s="2" t="s">
        <v>18</v>
      </c>
      <c r="J8" s="5" t="str">
        <f t="shared" si="1"/>
        <v>M (3)</v>
      </c>
    </row>
    <row r="9" spans="1:12" x14ac:dyDescent="0.2">
      <c r="A9" t="s">
        <v>11</v>
      </c>
      <c r="B9" t="s">
        <v>44</v>
      </c>
      <c r="C9" t="s">
        <v>8</v>
      </c>
      <c r="D9" t="s">
        <v>10</v>
      </c>
      <c r="E9" s="5" t="str">
        <f t="shared" si="0"/>
        <v>R2_Age_SY20M</v>
      </c>
      <c r="F9">
        <v>10703</v>
      </c>
      <c r="G9">
        <v>858</v>
      </c>
      <c r="H9" s="5">
        <f t="shared" si="2"/>
        <v>8.02</v>
      </c>
      <c r="I9" s="2" t="s">
        <v>26</v>
      </c>
      <c r="J9" s="5" t="str">
        <f t="shared" si="1"/>
        <v>-</v>
      </c>
    </row>
    <row r="10" spans="1:12" x14ac:dyDescent="0.2">
      <c r="A10" t="s">
        <v>12</v>
      </c>
      <c r="B10" t="s">
        <v>44</v>
      </c>
      <c r="C10" t="s">
        <v>7</v>
      </c>
      <c r="D10" t="s">
        <v>9</v>
      </c>
      <c r="E10" s="5" t="str">
        <f t="shared" si="0"/>
        <v>R3_Age_SY10F</v>
      </c>
      <c r="F10">
        <v>10425</v>
      </c>
      <c r="G10">
        <v>384</v>
      </c>
      <c r="H10" s="5">
        <f t="shared" si="2"/>
        <v>3.68</v>
      </c>
      <c r="I10" s="2" t="s">
        <v>24</v>
      </c>
      <c r="J10" s="5" t="str">
        <f t="shared" si="1"/>
        <v>F (9)</v>
      </c>
    </row>
    <row r="11" spans="1:12" x14ac:dyDescent="0.2">
      <c r="A11" t="s">
        <v>12</v>
      </c>
      <c r="B11" t="s">
        <v>44</v>
      </c>
      <c r="C11" t="s">
        <v>7</v>
      </c>
      <c r="D11" t="s">
        <v>10</v>
      </c>
      <c r="E11" s="5" t="str">
        <f t="shared" si="0"/>
        <v>R3_Age_SY20F</v>
      </c>
      <c r="F11">
        <v>10425</v>
      </c>
      <c r="G11">
        <v>456</v>
      </c>
      <c r="H11" s="5">
        <f t="shared" si="2"/>
        <v>4.37</v>
      </c>
      <c r="I11" s="2" t="s">
        <v>25</v>
      </c>
      <c r="J11" s="5" t="str">
        <f t="shared" si="1"/>
        <v>-</v>
      </c>
    </row>
    <row r="12" spans="1:12" x14ac:dyDescent="0.2">
      <c r="A12" t="s">
        <v>12</v>
      </c>
      <c r="B12" t="s">
        <v>44</v>
      </c>
      <c r="C12" t="s">
        <v>8</v>
      </c>
      <c r="D12" t="s">
        <v>9</v>
      </c>
      <c r="E12" s="5" t="str">
        <f t="shared" si="0"/>
        <v>R3_Age_SY10M</v>
      </c>
      <c r="F12">
        <v>10425</v>
      </c>
      <c r="G12">
        <v>444</v>
      </c>
      <c r="H12" s="5">
        <f t="shared" si="2"/>
        <v>4.26</v>
      </c>
      <c r="I12" s="2" t="s">
        <v>18</v>
      </c>
      <c r="J12" s="5" t="str">
        <f t="shared" si="1"/>
        <v>M (2)</v>
      </c>
    </row>
    <row r="13" spans="1:12" x14ac:dyDescent="0.2">
      <c r="A13" t="s">
        <v>12</v>
      </c>
      <c r="B13" t="s">
        <v>44</v>
      </c>
      <c r="C13" t="s">
        <v>8</v>
      </c>
      <c r="D13" t="s">
        <v>10</v>
      </c>
      <c r="E13" s="5" t="str">
        <f t="shared" si="0"/>
        <v>R3_Age_SY20M</v>
      </c>
      <c r="F13">
        <v>10425</v>
      </c>
      <c r="G13">
        <v>482</v>
      </c>
      <c r="H13" s="5">
        <f t="shared" si="2"/>
        <v>4.62</v>
      </c>
      <c r="I13" s="2" t="s">
        <v>27</v>
      </c>
      <c r="J13" s="5" t="str">
        <f t="shared" si="1"/>
        <v>-</v>
      </c>
    </row>
    <row r="14" spans="1:12" x14ac:dyDescent="0.2">
      <c r="A14" t="s">
        <v>13</v>
      </c>
      <c r="B14" t="s">
        <v>44</v>
      </c>
      <c r="C14" t="s">
        <v>7</v>
      </c>
      <c r="D14" t="s">
        <v>9</v>
      </c>
      <c r="E14" s="5" t="str">
        <f t="shared" si="0"/>
        <v>R4_Age_SY10F</v>
      </c>
      <c r="F14">
        <v>11281</v>
      </c>
      <c r="G14" s="2">
        <v>565</v>
      </c>
      <c r="H14" s="5">
        <f t="shared" si="2"/>
        <v>5.01</v>
      </c>
      <c r="I14" s="2" t="s">
        <v>30</v>
      </c>
      <c r="J14" s="5" t="str">
        <f t="shared" si="1"/>
        <v>F (6)</v>
      </c>
    </row>
    <row r="15" spans="1:12" x14ac:dyDescent="0.2">
      <c r="A15" t="s">
        <v>13</v>
      </c>
      <c r="B15" t="s">
        <v>44</v>
      </c>
      <c r="C15" t="s">
        <v>7</v>
      </c>
      <c r="D15" t="s">
        <v>10</v>
      </c>
      <c r="E15" s="5" t="str">
        <f t="shared" si="0"/>
        <v>R4_Age_SY20F</v>
      </c>
      <c r="F15">
        <v>11266</v>
      </c>
      <c r="G15" s="2">
        <v>348</v>
      </c>
      <c r="H15" s="5">
        <f t="shared" si="2"/>
        <v>3.09</v>
      </c>
      <c r="I15" s="2" t="s">
        <v>32</v>
      </c>
      <c r="J15" s="5" t="str">
        <f t="shared" si="1"/>
        <v>-</v>
      </c>
    </row>
    <row r="16" spans="1:12" x14ac:dyDescent="0.2">
      <c r="A16" t="s">
        <v>13</v>
      </c>
      <c r="B16" t="s">
        <v>44</v>
      </c>
      <c r="C16" t="s">
        <v>8</v>
      </c>
      <c r="D16" t="s">
        <v>9</v>
      </c>
      <c r="E16" s="5" t="str">
        <f t="shared" si="0"/>
        <v>R4_Age_SY10M</v>
      </c>
      <c r="F16">
        <v>11050</v>
      </c>
      <c r="G16" s="2">
        <v>685</v>
      </c>
      <c r="H16" s="6">
        <f t="shared" si="2"/>
        <v>6.2</v>
      </c>
      <c r="I16" s="2" t="s">
        <v>26</v>
      </c>
      <c r="J16" s="5" t="str">
        <f t="shared" si="1"/>
        <v>M (1)</v>
      </c>
    </row>
    <row r="17" spans="1:10" x14ac:dyDescent="0.2">
      <c r="A17" t="s">
        <v>13</v>
      </c>
      <c r="B17" t="s">
        <v>44</v>
      </c>
      <c r="C17" t="s">
        <v>8</v>
      </c>
      <c r="D17" t="s">
        <v>10</v>
      </c>
      <c r="E17" s="5" t="str">
        <f t="shared" si="0"/>
        <v>R4_Age_SY20M</v>
      </c>
      <c r="F17">
        <v>11038</v>
      </c>
      <c r="G17" s="2">
        <v>757</v>
      </c>
      <c r="H17" s="5">
        <f t="shared" si="2"/>
        <v>6.86</v>
      </c>
      <c r="I17" s="2" t="s">
        <v>31</v>
      </c>
      <c r="J17" s="5" t="str">
        <f t="shared" si="1"/>
        <v>-</v>
      </c>
    </row>
    <row r="18" spans="1:10" x14ac:dyDescent="0.2">
      <c r="A18" t="s">
        <v>14</v>
      </c>
      <c r="B18" t="s">
        <v>44</v>
      </c>
      <c r="C18" t="s">
        <v>7</v>
      </c>
      <c r="D18" t="s">
        <v>9</v>
      </c>
      <c r="E18" s="5" t="str">
        <f t="shared" si="0"/>
        <v>R5_Age_SY10F</v>
      </c>
      <c r="F18">
        <v>9800</v>
      </c>
      <c r="G18" s="2">
        <v>687</v>
      </c>
      <c r="H18" s="5">
        <f t="shared" si="2"/>
        <v>7.01</v>
      </c>
      <c r="I18" s="2" t="s">
        <v>26</v>
      </c>
      <c r="J18" s="5" t="str">
        <f t="shared" si="1"/>
        <v>F (6)</v>
      </c>
    </row>
    <row r="19" spans="1:10" x14ac:dyDescent="0.2">
      <c r="A19" t="s">
        <v>14</v>
      </c>
      <c r="B19" t="s">
        <v>44</v>
      </c>
      <c r="C19" t="s">
        <v>7</v>
      </c>
      <c r="D19" t="s">
        <v>10</v>
      </c>
      <c r="E19" s="5" t="str">
        <f t="shared" si="0"/>
        <v>R5_Age_SY20F</v>
      </c>
      <c r="F19">
        <v>10004</v>
      </c>
      <c r="G19" s="2">
        <v>491</v>
      </c>
      <c r="H19" s="5">
        <f t="shared" si="2"/>
        <v>4.91</v>
      </c>
      <c r="I19" s="2" t="s">
        <v>34</v>
      </c>
      <c r="J19" s="5" t="str">
        <f t="shared" si="1"/>
        <v>-</v>
      </c>
    </row>
    <row r="20" spans="1:10" x14ac:dyDescent="0.2">
      <c r="A20" t="s">
        <v>14</v>
      </c>
      <c r="B20" t="s">
        <v>44</v>
      </c>
      <c r="C20" t="s">
        <v>8</v>
      </c>
      <c r="D20" t="s">
        <v>9</v>
      </c>
      <c r="E20" s="5" t="str">
        <f t="shared" si="0"/>
        <v>R5_Age_SY10M</v>
      </c>
      <c r="F20">
        <v>10020</v>
      </c>
      <c r="G20" s="2">
        <v>849</v>
      </c>
      <c r="H20" s="5">
        <f t="shared" si="2"/>
        <v>8.4700000000000006</v>
      </c>
      <c r="I20" s="2" t="s">
        <v>20</v>
      </c>
      <c r="J20" s="5" t="str">
        <f t="shared" si="1"/>
        <v>M (0)</v>
      </c>
    </row>
    <row r="21" spans="1:10" x14ac:dyDescent="0.2">
      <c r="A21" t="s">
        <v>14</v>
      </c>
      <c r="B21" t="s">
        <v>44</v>
      </c>
      <c r="C21" t="s">
        <v>8</v>
      </c>
      <c r="D21" t="s">
        <v>10</v>
      </c>
      <c r="E21" s="5" t="str">
        <f t="shared" si="0"/>
        <v>R5_Age_SY20M</v>
      </c>
      <c r="F21">
        <v>10035</v>
      </c>
      <c r="G21" s="2">
        <v>1087</v>
      </c>
      <c r="H21" s="5">
        <f t="shared" si="2"/>
        <v>10.83</v>
      </c>
      <c r="I21" s="2" t="s">
        <v>20</v>
      </c>
      <c r="J21" s="5" t="str">
        <f t="shared" si="1"/>
        <v>-</v>
      </c>
    </row>
    <row r="22" spans="1:10" x14ac:dyDescent="0.2">
      <c r="A22" t="s">
        <v>33</v>
      </c>
      <c r="B22" t="s">
        <v>44</v>
      </c>
      <c r="C22" t="s">
        <v>7</v>
      </c>
      <c r="D22" t="s">
        <v>9</v>
      </c>
      <c r="E22" s="5" t="str">
        <f t="shared" ref="E22:E37" si="3">_xlfn.CONCAT(LEFT(A22,1),RIGHT(A22,1),"_Age_",D22,C22)</f>
        <v>R6_Age_SY10F</v>
      </c>
      <c r="F22" s="2">
        <v>9960</v>
      </c>
      <c r="G22" s="2">
        <v>554</v>
      </c>
      <c r="H22" s="6">
        <f t="shared" si="2"/>
        <v>5.56</v>
      </c>
      <c r="I22" s="2" t="s">
        <v>18</v>
      </c>
      <c r="J22" s="5" t="str">
        <f t="shared" si="1"/>
        <v>F (12)</v>
      </c>
    </row>
    <row r="23" spans="1:10" x14ac:dyDescent="0.2">
      <c r="A23" t="s">
        <v>33</v>
      </c>
      <c r="B23" t="s">
        <v>44</v>
      </c>
      <c r="C23" t="s">
        <v>7</v>
      </c>
      <c r="D23" t="s">
        <v>10</v>
      </c>
      <c r="E23" s="5" t="str">
        <f t="shared" si="3"/>
        <v>R6_Age_SY20F</v>
      </c>
      <c r="F23" s="2">
        <v>10080</v>
      </c>
      <c r="G23" s="2">
        <v>585</v>
      </c>
      <c r="H23" s="6">
        <f t="shared" si="2"/>
        <v>5.8</v>
      </c>
      <c r="I23" s="2" t="s">
        <v>36</v>
      </c>
      <c r="J23" s="5" t="str">
        <f t="shared" si="1"/>
        <v>-</v>
      </c>
    </row>
    <row r="24" spans="1:10" x14ac:dyDescent="0.2">
      <c r="A24" t="s">
        <v>33</v>
      </c>
      <c r="B24" t="s">
        <v>44</v>
      </c>
      <c r="C24" t="s">
        <v>8</v>
      </c>
      <c r="D24" t="s">
        <v>9</v>
      </c>
      <c r="E24" s="5" t="str">
        <f t="shared" si="3"/>
        <v>R6_Age_SY10M</v>
      </c>
      <c r="F24" s="2">
        <v>9960</v>
      </c>
      <c r="G24" s="2">
        <v>541</v>
      </c>
      <c r="H24" s="6">
        <f t="shared" si="2"/>
        <v>5.43</v>
      </c>
      <c r="I24" s="2" t="s">
        <v>26</v>
      </c>
      <c r="J24" s="5" t="str">
        <f t="shared" si="1"/>
        <v>M (2)</v>
      </c>
    </row>
    <row r="25" spans="1:10" x14ac:dyDescent="0.2">
      <c r="A25" t="s">
        <v>33</v>
      </c>
      <c r="B25" t="s">
        <v>44</v>
      </c>
      <c r="C25" t="s">
        <v>8</v>
      </c>
      <c r="D25" t="s">
        <v>10</v>
      </c>
      <c r="E25" s="5" t="str">
        <f t="shared" si="3"/>
        <v>R6_Age_SY20M</v>
      </c>
      <c r="F25" s="2">
        <v>10080</v>
      </c>
      <c r="G25" s="2">
        <v>620</v>
      </c>
      <c r="H25" s="6">
        <f t="shared" si="2"/>
        <v>6.15</v>
      </c>
      <c r="I25" s="2" t="s">
        <v>37</v>
      </c>
      <c r="J25" s="5" t="str">
        <f t="shared" si="1"/>
        <v>-</v>
      </c>
    </row>
    <row r="26" spans="1:10" x14ac:dyDescent="0.2">
      <c r="A26" t="s">
        <v>35</v>
      </c>
      <c r="B26" t="s">
        <v>44</v>
      </c>
      <c r="C26" t="s">
        <v>7</v>
      </c>
      <c r="D26" t="s">
        <v>9</v>
      </c>
      <c r="E26" s="5" t="str">
        <f t="shared" si="3"/>
        <v>R7_Age_SY10F</v>
      </c>
      <c r="F26">
        <v>10416</v>
      </c>
      <c r="G26" s="2">
        <v>544</v>
      </c>
      <c r="H26" s="6">
        <f t="shared" si="2"/>
        <v>5.22</v>
      </c>
      <c r="I26" s="2" t="s">
        <v>18</v>
      </c>
      <c r="J26" s="5" t="str">
        <f t="shared" si="1"/>
        <v>F (8)</v>
      </c>
    </row>
    <row r="27" spans="1:10" x14ac:dyDescent="0.2">
      <c r="A27" t="s">
        <v>35</v>
      </c>
      <c r="B27" t="s">
        <v>44</v>
      </c>
      <c r="C27" t="s">
        <v>7</v>
      </c>
      <c r="D27" t="s">
        <v>10</v>
      </c>
      <c r="E27" s="5" t="str">
        <f t="shared" si="3"/>
        <v>R7_Age_SY20F</v>
      </c>
      <c r="F27">
        <v>10509</v>
      </c>
      <c r="G27" s="2">
        <v>538</v>
      </c>
      <c r="H27" s="6">
        <f t="shared" si="2"/>
        <v>5.12</v>
      </c>
      <c r="I27" s="2" t="s">
        <v>40</v>
      </c>
      <c r="J27" s="5" t="str">
        <f t="shared" si="1"/>
        <v>-</v>
      </c>
    </row>
    <row r="28" spans="1:10" x14ac:dyDescent="0.2">
      <c r="A28" t="s">
        <v>35</v>
      </c>
      <c r="B28" t="s">
        <v>44</v>
      </c>
      <c r="C28" t="s">
        <v>8</v>
      </c>
      <c r="D28" t="s">
        <v>9</v>
      </c>
      <c r="E28" s="5" t="str">
        <f t="shared" si="3"/>
        <v>R7_Age_SY10M</v>
      </c>
      <c r="F28">
        <v>10405</v>
      </c>
      <c r="G28" s="2">
        <v>592</v>
      </c>
      <c r="H28" s="6">
        <f t="shared" si="2"/>
        <v>5.69</v>
      </c>
      <c r="I28" s="2" t="s">
        <v>41</v>
      </c>
      <c r="J28" s="5" t="str">
        <f t="shared" si="1"/>
        <v>M (3)</v>
      </c>
    </row>
    <row r="29" spans="1:10" x14ac:dyDescent="0.2">
      <c r="A29" t="s">
        <v>35</v>
      </c>
      <c r="B29" t="s">
        <v>44</v>
      </c>
      <c r="C29" t="s">
        <v>8</v>
      </c>
      <c r="D29" t="s">
        <v>10</v>
      </c>
      <c r="E29" s="5" t="str">
        <f t="shared" si="3"/>
        <v>R7_Age_SY20M</v>
      </c>
      <c r="F29">
        <v>10495</v>
      </c>
      <c r="G29" s="2">
        <v>418</v>
      </c>
      <c r="H29" s="6">
        <f t="shared" si="2"/>
        <v>3.98</v>
      </c>
      <c r="I29" s="2" t="s">
        <v>24</v>
      </c>
      <c r="J29" s="5" t="str">
        <f t="shared" si="1"/>
        <v>-</v>
      </c>
    </row>
    <row r="30" spans="1:10" x14ac:dyDescent="0.2">
      <c r="A30" t="s">
        <v>38</v>
      </c>
      <c r="B30" t="s">
        <v>45</v>
      </c>
      <c r="C30" t="s">
        <v>7</v>
      </c>
      <c r="D30" t="s">
        <v>9</v>
      </c>
      <c r="E30" s="5" t="str">
        <f t="shared" si="3"/>
        <v>R8_Age_SY10F</v>
      </c>
      <c r="F30" s="2">
        <v>9775</v>
      </c>
      <c r="G30" s="2">
        <v>701</v>
      </c>
      <c r="H30" s="6">
        <f t="shared" si="2"/>
        <v>7.17</v>
      </c>
      <c r="I30" s="2" t="s">
        <v>24</v>
      </c>
      <c r="J30" s="5" t="str">
        <f t="shared" si="1"/>
        <v>F (4)</v>
      </c>
    </row>
    <row r="31" spans="1:10" x14ac:dyDescent="0.2">
      <c r="A31" t="s">
        <v>38</v>
      </c>
      <c r="B31" t="s">
        <v>45</v>
      </c>
      <c r="C31" t="s">
        <v>7</v>
      </c>
      <c r="D31" t="s">
        <v>10</v>
      </c>
      <c r="E31" s="5" t="str">
        <f t="shared" si="3"/>
        <v>R8_Age_SY20F</v>
      </c>
      <c r="F31" s="2">
        <v>9683</v>
      </c>
      <c r="G31" s="2">
        <v>661</v>
      </c>
      <c r="H31" s="6">
        <f t="shared" si="2"/>
        <v>6.83</v>
      </c>
      <c r="I31" s="2" t="s">
        <v>37</v>
      </c>
      <c r="J31" s="5" t="str">
        <f t="shared" si="1"/>
        <v>-</v>
      </c>
    </row>
    <row r="32" spans="1:10" x14ac:dyDescent="0.2">
      <c r="A32" t="s">
        <v>38</v>
      </c>
      <c r="B32" t="s">
        <v>45</v>
      </c>
      <c r="C32" t="s">
        <v>8</v>
      </c>
      <c r="D32" t="s">
        <v>9</v>
      </c>
      <c r="E32" s="5" t="str">
        <f t="shared" si="3"/>
        <v>R8_Age_SY10M</v>
      </c>
      <c r="F32" s="2">
        <v>9578</v>
      </c>
      <c r="G32" s="2">
        <v>538</v>
      </c>
      <c r="H32" s="6">
        <f t="shared" si="2"/>
        <v>5.62</v>
      </c>
      <c r="I32" s="2" t="s">
        <v>47</v>
      </c>
      <c r="J32" s="5" t="str">
        <f t="shared" si="1"/>
        <v>M (0)</v>
      </c>
    </row>
    <row r="33" spans="1:10" x14ac:dyDescent="0.2">
      <c r="A33" t="s">
        <v>38</v>
      </c>
      <c r="B33" t="s">
        <v>45</v>
      </c>
      <c r="C33" t="s">
        <v>8</v>
      </c>
      <c r="D33" t="s">
        <v>10</v>
      </c>
      <c r="E33" s="5" t="str">
        <f t="shared" si="3"/>
        <v>R8_Age_SY20M</v>
      </c>
      <c r="F33" s="2">
        <v>9576</v>
      </c>
      <c r="G33" s="2">
        <v>567</v>
      </c>
      <c r="H33" s="6">
        <f t="shared" si="2"/>
        <v>5.92</v>
      </c>
      <c r="I33" s="2" t="s">
        <v>47</v>
      </c>
      <c r="J33" s="5" t="str">
        <f t="shared" si="1"/>
        <v>-</v>
      </c>
    </row>
    <row r="34" spans="1:10" x14ac:dyDescent="0.2">
      <c r="A34" t="s">
        <v>39</v>
      </c>
      <c r="B34" t="s">
        <v>45</v>
      </c>
      <c r="C34" t="s">
        <v>7</v>
      </c>
      <c r="D34" t="s">
        <v>9</v>
      </c>
      <c r="E34" s="5" t="str">
        <f t="shared" si="3"/>
        <v>R9_Age_SY10F</v>
      </c>
      <c r="F34" s="2">
        <v>10392</v>
      </c>
      <c r="G34" s="2">
        <v>417</v>
      </c>
      <c r="H34" s="6">
        <f t="shared" si="2"/>
        <v>4.01</v>
      </c>
      <c r="I34" s="2" t="s">
        <v>24</v>
      </c>
      <c r="J34" s="5" t="str">
        <f t="shared" si="1"/>
        <v>F (3)</v>
      </c>
    </row>
    <row r="35" spans="1:10" x14ac:dyDescent="0.2">
      <c r="A35" t="s">
        <v>39</v>
      </c>
      <c r="B35" t="s">
        <v>45</v>
      </c>
      <c r="C35" t="s">
        <v>7</v>
      </c>
      <c r="D35" t="s">
        <v>10</v>
      </c>
      <c r="E35" s="5" t="str">
        <f t="shared" si="3"/>
        <v>R9_Age_SY20F</v>
      </c>
      <c r="F35" s="2">
        <v>10300</v>
      </c>
      <c r="G35" s="2">
        <v>640</v>
      </c>
      <c r="H35" s="6">
        <f t="shared" si="2"/>
        <v>6.21</v>
      </c>
      <c r="I35" s="2" t="s">
        <v>31</v>
      </c>
      <c r="J35" s="5" t="str">
        <f t="shared" si="1"/>
        <v>-</v>
      </c>
    </row>
    <row r="36" spans="1:10" x14ac:dyDescent="0.2">
      <c r="A36" t="s">
        <v>39</v>
      </c>
      <c r="B36" t="s">
        <v>45</v>
      </c>
      <c r="C36" t="s">
        <v>8</v>
      </c>
      <c r="D36" t="s">
        <v>9</v>
      </c>
      <c r="E36" s="5" t="str">
        <f t="shared" si="3"/>
        <v>R9_Age_SY10M</v>
      </c>
      <c r="F36" s="2">
        <v>10385</v>
      </c>
      <c r="G36" s="2">
        <v>564</v>
      </c>
      <c r="H36" s="6">
        <f t="shared" si="2"/>
        <v>5.43</v>
      </c>
      <c r="I36" s="2" t="s">
        <v>24</v>
      </c>
      <c r="J36" s="5" t="str">
        <f t="shared" si="1"/>
        <v>M (-5)</v>
      </c>
    </row>
    <row r="37" spans="1:10" x14ac:dyDescent="0.2">
      <c r="A37" t="s">
        <v>39</v>
      </c>
      <c r="B37" t="s">
        <v>45</v>
      </c>
      <c r="C37" t="s">
        <v>8</v>
      </c>
      <c r="D37" t="s">
        <v>10</v>
      </c>
      <c r="E37" s="5" t="str">
        <f t="shared" si="3"/>
        <v>R9_Age_SY20M</v>
      </c>
      <c r="F37" s="2">
        <v>10300</v>
      </c>
      <c r="G37" s="2">
        <v>822</v>
      </c>
      <c r="H37" s="6">
        <f t="shared" si="2"/>
        <v>7.98</v>
      </c>
      <c r="I37" s="2" t="s">
        <v>47</v>
      </c>
      <c r="J37" s="5" t="str">
        <f t="shared" si="1"/>
        <v>-</v>
      </c>
    </row>
    <row r="38" spans="1:10" x14ac:dyDescent="0.2">
      <c r="A38" t="s">
        <v>46</v>
      </c>
      <c r="B38" t="s">
        <v>44</v>
      </c>
      <c r="C38" t="s">
        <v>7</v>
      </c>
      <c r="D38" t="s">
        <v>9</v>
      </c>
      <c r="E38" s="5" t="str">
        <f>_xlfn.CONCAT(LEFT(A38,1),RIGHT(A38,2),"_Age_",D38,C38)</f>
        <v>R10_Age_SY10F</v>
      </c>
      <c r="F38" s="2">
        <v>10740</v>
      </c>
      <c r="G38" s="2">
        <v>381</v>
      </c>
      <c r="H38" s="6">
        <f t="shared" si="2"/>
        <v>3.55</v>
      </c>
      <c r="I38" s="2" t="s">
        <v>41</v>
      </c>
      <c r="J38" s="5" t="str">
        <f t="shared" si="1"/>
        <v>F (3)</v>
      </c>
    </row>
    <row r="39" spans="1:10" x14ac:dyDescent="0.2">
      <c r="A39" t="s">
        <v>46</v>
      </c>
      <c r="B39" t="s">
        <v>44</v>
      </c>
      <c r="C39" t="s">
        <v>7</v>
      </c>
      <c r="D39" t="s">
        <v>10</v>
      </c>
      <c r="E39" s="5" t="str">
        <f t="shared" ref="E39:E45" si="4">_xlfn.CONCAT(LEFT(A39,1),RIGHT(A39,2),"_Age_",D39,C39)</f>
        <v>R10_Age_SY20F</v>
      </c>
      <c r="F39" s="2">
        <v>10540</v>
      </c>
      <c r="G39" s="2">
        <v>624</v>
      </c>
      <c r="H39" s="6">
        <f t="shared" si="2"/>
        <v>5.92</v>
      </c>
      <c r="I39" s="2" t="s">
        <v>24</v>
      </c>
      <c r="J39" s="5" t="str">
        <f t="shared" si="1"/>
        <v>-</v>
      </c>
    </row>
    <row r="40" spans="1:10" x14ac:dyDescent="0.2">
      <c r="A40" t="s">
        <v>46</v>
      </c>
      <c r="B40" t="s">
        <v>44</v>
      </c>
      <c r="C40" t="s">
        <v>8</v>
      </c>
      <c r="D40" t="s">
        <v>9</v>
      </c>
      <c r="E40" s="5" t="str">
        <f t="shared" si="4"/>
        <v>R10_Age_SY10M</v>
      </c>
      <c r="F40" s="2">
        <v>10740</v>
      </c>
      <c r="G40" s="2">
        <v>483</v>
      </c>
      <c r="H40" s="6">
        <f t="shared" si="2"/>
        <v>4.5</v>
      </c>
      <c r="I40" s="2" t="s">
        <v>20</v>
      </c>
      <c r="J40" s="5" t="str">
        <f t="shared" si="1"/>
        <v>M (3)</v>
      </c>
    </row>
    <row r="41" spans="1:10" x14ac:dyDescent="0.2">
      <c r="A41" t="s">
        <v>46</v>
      </c>
      <c r="B41" t="s">
        <v>44</v>
      </c>
      <c r="C41" t="s">
        <v>8</v>
      </c>
      <c r="D41" t="s">
        <v>10</v>
      </c>
      <c r="E41" s="5" t="str">
        <f t="shared" si="4"/>
        <v>R10_Age_SY20M</v>
      </c>
      <c r="F41" s="2">
        <v>10545</v>
      </c>
      <c r="G41" s="2">
        <v>500</v>
      </c>
      <c r="H41" s="6">
        <f t="shared" si="2"/>
        <v>4.74</v>
      </c>
      <c r="I41" s="2" t="s">
        <v>18</v>
      </c>
      <c r="J41" s="5" t="str">
        <f t="shared" si="1"/>
        <v>-</v>
      </c>
    </row>
    <row r="42" spans="1:10" x14ac:dyDescent="0.2">
      <c r="A42" t="s">
        <v>48</v>
      </c>
      <c r="B42" t="s">
        <v>44</v>
      </c>
      <c r="C42" t="s">
        <v>7</v>
      </c>
      <c r="D42" t="s">
        <v>9</v>
      </c>
      <c r="E42" s="5" t="str">
        <f t="shared" si="4"/>
        <v>R11_Age_SY10F</v>
      </c>
      <c r="F42" s="2">
        <v>11125</v>
      </c>
      <c r="G42" s="2">
        <v>392</v>
      </c>
      <c r="H42" s="6">
        <f t="shared" si="2"/>
        <v>3.52</v>
      </c>
      <c r="I42" s="2" t="s">
        <v>50</v>
      </c>
      <c r="J42" s="5" t="str">
        <f t="shared" si="1"/>
        <v>F (10)</v>
      </c>
    </row>
    <row r="43" spans="1:10" x14ac:dyDescent="0.2">
      <c r="A43" t="s">
        <v>48</v>
      </c>
      <c r="B43" t="s">
        <v>44</v>
      </c>
      <c r="C43" t="s">
        <v>7</v>
      </c>
      <c r="D43" t="s">
        <v>10</v>
      </c>
      <c r="E43" s="5" t="str">
        <f t="shared" si="4"/>
        <v>R11_Age_SY20F</v>
      </c>
      <c r="F43" s="2">
        <v>10975</v>
      </c>
      <c r="G43" s="2">
        <v>661</v>
      </c>
      <c r="H43" s="6">
        <f t="shared" si="2"/>
        <v>6.02</v>
      </c>
      <c r="I43" s="2" t="s">
        <v>34</v>
      </c>
      <c r="J43" s="5" t="str">
        <f t="shared" si="1"/>
        <v>-</v>
      </c>
    </row>
    <row r="44" spans="1:10" x14ac:dyDescent="0.2">
      <c r="A44" t="s">
        <v>48</v>
      </c>
      <c r="B44" t="s">
        <v>44</v>
      </c>
      <c r="C44" t="s">
        <v>8</v>
      </c>
      <c r="D44" t="s">
        <v>9</v>
      </c>
      <c r="E44" s="5" t="str">
        <f t="shared" si="4"/>
        <v>R11_Age_SY10M</v>
      </c>
      <c r="F44" s="2">
        <v>11125</v>
      </c>
      <c r="G44" s="2">
        <v>473</v>
      </c>
      <c r="H44" s="6">
        <f t="shared" si="2"/>
        <v>4.25</v>
      </c>
      <c r="I44" s="2" t="s">
        <v>18</v>
      </c>
      <c r="J44" s="5" t="str">
        <f t="shared" si="1"/>
        <v>M (3)</v>
      </c>
    </row>
    <row r="45" spans="1:10" x14ac:dyDescent="0.2">
      <c r="A45" t="s">
        <v>48</v>
      </c>
      <c r="B45" t="s">
        <v>44</v>
      </c>
      <c r="C45" t="s">
        <v>8</v>
      </c>
      <c r="D45" t="s">
        <v>10</v>
      </c>
      <c r="E45" s="5" t="str">
        <f t="shared" si="4"/>
        <v>R11_Age_SY20M</v>
      </c>
      <c r="F45" s="2">
        <v>10975</v>
      </c>
      <c r="G45" s="2">
        <v>962</v>
      </c>
      <c r="H45" s="6">
        <f t="shared" si="2"/>
        <v>8.77</v>
      </c>
      <c r="I45" s="2" t="s">
        <v>26</v>
      </c>
      <c r="J45" s="5" t="str">
        <f t="shared" si="1"/>
        <v>-</v>
      </c>
    </row>
    <row r="46" spans="1:10" x14ac:dyDescent="0.2">
      <c r="A46" t="s">
        <v>49</v>
      </c>
      <c r="B46" t="s">
        <v>44</v>
      </c>
      <c r="C46" t="s">
        <v>7</v>
      </c>
      <c r="D46" t="s">
        <v>9</v>
      </c>
      <c r="E46" s="5" t="str">
        <f t="shared" ref="E46:E57" si="5">_xlfn.CONCAT(LEFT(A46,1),RIGHT(A46,2),"_Age_",D46,C46)</f>
        <v>R12_Age_SY10F</v>
      </c>
      <c r="F46">
        <v>10950</v>
      </c>
      <c r="G46" s="2">
        <v>387</v>
      </c>
      <c r="H46" s="6">
        <f t="shared" si="2"/>
        <v>3.53</v>
      </c>
      <c r="I46" s="2" t="s">
        <v>20</v>
      </c>
      <c r="J46" s="5" t="str">
        <f t="shared" ref="J46:J49" si="6">IF(I46="-","-",IF(D46="SY20","-",IF(D46="SY10",_xlfn.CONCAT(C46," (",LEFT(I46,2)-LEFT(I47,2),")"))))</f>
        <v>F (1)</v>
      </c>
    </row>
    <row r="47" spans="1:10" x14ac:dyDescent="0.2">
      <c r="A47" t="s">
        <v>49</v>
      </c>
      <c r="B47" t="s">
        <v>44</v>
      </c>
      <c r="C47" t="s">
        <v>7</v>
      </c>
      <c r="D47" t="s">
        <v>10</v>
      </c>
      <c r="E47" s="5" t="str">
        <f t="shared" si="5"/>
        <v>R12_Age_SY20F</v>
      </c>
      <c r="F47">
        <v>10950</v>
      </c>
      <c r="G47" s="2">
        <v>635</v>
      </c>
      <c r="H47" s="6">
        <f t="shared" si="2"/>
        <v>5.8</v>
      </c>
      <c r="I47" s="2" t="s">
        <v>41</v>
      </c>
      <c r="J47" s="5" t="str">
        <f t="shared" si="6"/>
        <v>-</v>
      </c>
    </row>
    <row r="48" spans="1:10" x14ac:dyDescent="0.2">
      <c r="A48" t="s">
        <v>49</v>
      </c>
      <c r="B48" t="s">
        <v>44</v>
      </c>
      <c r="C48" t="s">
        <v>8</v>
      </c>
      <c r="D48" t="s">
        <v>9</v>
      </c>
      <c r="E48" s="5" t="str">
        <f t="shared" si="5"/>
        <v>R12_Age_SY10M</v>
      </c>
      <c r="F48">
        <v>10950</v>
      </c>
      <c r="G48" s="2">
        <v>372</v>
      </c>
      <c r="H48" s="6">
        <f t="shared" ref="H48:H49" si="7">ROUND(100*(G48/F48),2)</f>
        <v>3.4</v>
      </c>
      <c r="I48" s="2" t="s">
        <v>20</v>
      </c>
      <c r="J48" s="5" t="str">
        <f t="shared" si="6"/>
        <v>M (2)</v>
      </c>
    </row>
    <row r="49" spans="1:10" x14ac:dyDescent="0.2">
      <c r="A49" t="s">
        <v>49</v>
      </c>
      <c r="B49" t="s">
        <v>44</v>
      </c>
      <c r="C49" t="s">
        <v>8</v>
      </c>
      <c r="D49" t="s">
        <v>10</v>
      </c>
      <c r="E49" s="5" t="str">
        <f t="shared" si="5"/>
        <v>R12_Age_SY20M</v>
      </c>
      <c r="F49">
        <v>10950</v>
      </c>
      <c r="G49" s="2">
        <v>439</v>
      </c>
      <c r="H49" s="6">
        <f t="shared" si="7"/>
        <v>4.01</v>
      </c>
      <c r="I49" s="2" t="s">
        <v>50</v>
      </c>
      <c r="J49" s="5" t="str">
        <f t="shared" si="6"/>
        <v>-</v>
      </c>
    </row>
    <row r="50" spans="1:10" x14ac:dyDescent="0.2">
      <c r="A50" s="7" t="s">
        <v>51</v>
      </c>
      <c r="B50" s="7" t="s">
        <v>52</v>
      </c>
      <c r="C50" s="7" t="s">
        <v>7</v>
      </c>
      <c r="D50" s="7" t="s">
        <v>10</v>
      </c>
      <c r="E50" s="8" t="str">
        <f t="shared" si="5"/>
        <v>RA1_Age_SY20F</v>
      </c>
      <c r="F50" s="7">
        <v>10625</v>
      </c>
      <c r="G50" s="9">
        <v>540</v>
      </c>
      <c r="H50" s="11">
        <f t="shared" ref="H50:H53" si="8">ROUND(100*(G50/F50),2)</f>
        <v>5.08</v>
      </c>
      <c r="I50" s="9" t="s">
        <v>56</v>
      </c>
      <c r="J50" s="8" t="s">
        <v>54</v>
      </c>
    </row>
    <row r="51" spans="1:10" x14ac:dyDescent="0.2">
      <c r="A51" s="7" t="s">
        <v>51</v>
      </c>
      <c r="B51" s="7" t="s">
        <v>52</v>
      </c>
      <c r="C51" s="7" t="s">
        <v>8</v>
      </c>
      <c r="D51" s="7" t="s">
        <v>10</v>
      </c>
      <c r="E51" s="8" t="str">
        <f t="shared" si="5"/>
        <v>RA1_Age_SY20M</v>
      </c>
      <c r="F51" s="7">
        <v>10610</v>
      </c>
      <c r="G51" s="9" t="s">
        <v>28</v>
      </c>
      <c r="H51" s="10" t="s">
        <v>28</v>
      </c>
      <c r="I51" s="9" t="s">
        <v>28</v>
      </c>
      <c r="J51" s="8" t="s">
        <v>54</v>
      </c>
    </row>
    <row r="52" spans="1:10" x14ac:dyDescent="0.2">
      <c r="A52" s="7" t="s">
        <v>53</v>
      </c>
      <c r="B52" s="7" t="s">
        <v>52</v>
      </c>
      <c r="C52" s="7" t="s">
        <v>7</v>
      </c>
      <c r="D52" s="7" t="s">
        <v>10</v>
      </c>
      <c r="E52" s="8" t="str">
        <f t="shared" si="5"/>
        <v>RA2_Age_SY20F</v>
      </c>
      <c r="F52" s="7">
        <v>10468</v>
      </c>
      <c r="G52" s="9">
        <v>276</v>
      </c>
      <c r="H52" s="11">
        <f t="shared" si="8"/>
        <v>2.64</v>
      </c>
      <c r="I52" s="9" t="s">
        <v>55</v>
      </c>
      <c r="J52" s="8" t="s">
        <v>54</v>
      </c>
    </row>
    <row r="53" spans="1:10" x14ac:dyDescent="0.2">
      <c r="A53" s="7" t="s">
        <v>53</v>
      </c>
      <c r="B53" s="7" t="s">
        <v>52</v>
      </c>
      <c r="C53" s="7" t="s">
        <v>8</v>
      </c>
      <c r="D53" s="7" t="s">
        <v>10</v>
      </c>
      <c r="E53" s="8" t="str">
        <f t="shared" si="5"/>
        <v>RA2_Age_SY20M</v>
      </c>
      <c r="F53" s="7">
        <v>10445</v>
      </c>
      <c r="G53" s="9">
        <v>410</v>
      </c>
      <c r="H53" s="11">
        <f t="shared" si="8"/>
        <v>3.93</v>
      </c>
      <c r="I53" s="9" t="s">
        <v>36</v>
      </c>
      <c r="J53" s="8" t="s">
        <v>54</v>
      </c>
    </row>
    <row r="54" spans="1:10" x14ac:dyDescent="0.2">
      <c r="A54" s="7" t="s">
        <v>57</v>
      </c>
      <c r="B54" s="7" t="s">
        <v>52</v>
      </c>
      <c r="C54" s="7" t="s">
        <v>7</v>
      </c>
      <c r="D54" s="7" t="s">
        <v>10</v>
      </c>
      <c r="E54" s="8" t="str">
        <f t="shared" si="5"/>
        <v>RA3_Age_SY20F</v>
      </c>
      <c r="F54" s="7">
        <v>10750</v>
      </c>
      <c r="G54" s="9" t="s">
        <v>28</v>
      </c>
      <c r="H54" s="10" t="s">
        <v>28</v>
      </c>
      <c r="I54" s="9" t="s">
        <v>28</v>
      </c>
      <c r="J54" s="8" t="s">
        <v>54</v>
      </c>
    </row>
    <row r="55" spans="1:10" x14ac:dyDescent="0.2">
      <c r="A55" s="7" t="s">
        <v>57</v>
      </c>
      <c r="B55" s="7" t="s">
        <v>52</v>
      </c>
      <c r="C55" s="7" t="s">
        <v>8</v>
      </c>
      <c r="D55" s="7" t="s">
        <v>10</v>
      </c>
      <c r="E55" s="8" t="str">
        <f t="shared" si="5"/>
        <v>RA3_Age_SY20M</v>
      </c>
      <c r="F55" s="7">
        <v>10625</v>
      </c>
      <c r="G55" s="9" t="s">
        <v>28</v>
      </c>
      <c r="H55" s="10" t="s">
        <v>28</v>
      </c>
      <c r="I55" s="9" t="s">
        <v>28</v>
      </c>
      <c r="J55" s="8" t="s">
        <v>54</v>
      </c>
    </row>
    <row r="56" spans="1:10" x14ac:dyDescent="0.2">
      <c r="A56" s="7" t="s">
        <v>58</v>
      </c>
      <c r="B56" s="7" t="s">
        <v>52</v>
      </c>
      <c r="C56" s="7" t="s">
        <v>7</v>
      </c>
      <c r="D56" s="7" t="s">
        <v>10</v>
      </c>
      <c r="E56" s="8" t="str">
        <f t="shared" si="5"/>
        <v>RA4_Age_SY20F</v>
      </c>
      <c r="F56" s="7">
        <v>10110</v>
      </c>
      <c r="G56" s="9" t="s">
        <v>28</v>
      </c>
      <c r="H56" s="10" t="s">
        <v>28</v>
      </c>
      <c r="I56" s="9" t="s">
        <v>28</v>
      </c>
      <c r="J56" s="8" t="s">
        <v>54</v>
      </c>
    </row>
    <row r="57" spans="1:10" x14ac:dyDescent="0.2">
      <c r="A57" s="7" t="s">
        <v>58</v>
      </c>
      <c r="B57" s="7" t="s">
        <v>52</v>
      </c>
      <c r="C57" s="7" t="s">
        <v>8</v>
      </c>
      <c r="D57" s="7" t="s">
        <v>10</v>
      </c>
      <c r="E57" s="8" t="str">
        <f t="shared" si="5"/>
        <v>RA4_Age_SY20M</v>
      </c>
      <c r="F57" s="7">
        <v>10079</v>
      </c>
      <c r="G57" s="9" t="s">
        <v>28</v>
      </c>
      <c r="H57" s="10" t="s">
        <v>28</v>
      </c>
      <c r="I57" s="9" t="s">
        <v>28</v>
      </c>
      <c r="J57" s="8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Control_Flies</vt:lpstr>
      <vt:lpstr>Aged_Flies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Macdonald, Stuart</dc:creator>
  <cp:lastModifiedBy>Anthony Long</cp:lastModifiedBy>
  <dcterms:created xsi:type="dcterms:W3CDTF">2025-05-29T18:12:04Z</dcterms:created>
  <dcterms:modified xsi:type="dcterms:W3CDTF">2026-05-26T18:32:28Z</dcterms:modified>
</cp:coreProperties>
</file>